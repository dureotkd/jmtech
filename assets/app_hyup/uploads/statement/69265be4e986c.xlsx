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38400" yWindow="-1460" windowWidth="38400" windowHeight="211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<sst xmlns="http://schemas.openxmlformats.org/spreadsheetml/2006/main" count="55" uniqueCount="43">
  <si>
    <t>매출 통계 내역</t>
  </si>
  <si>
    <t>매장</t>
  </si>
  <si>
    <t>칠렉스24 판교테크노그어딘가판교판교판교판교점</t>
  </si>
  <si>
    <t>조회기간</t>
  </si>
  <si>
    <t>조회단위</t>
  </si>
  <si>
    <t>2025-10-28 ~ 2025-11-26</t>
  </si>
  <si>
    <t>일별</t>
  </si>
  <si>
    <t>요약</t>
  </si>
  <si>
    <t>매출</t>
  </si>
  <si>
    <t>주문 건</t>
  </si>
  <si>
    <t>포인트</t>
  </si>
  <si>
    <t>증정품</t>
  </si>
  <si>
    <t>할인</t>
  </si>
  <si>
    <t>순매출</t>
  </si>
  <si>
    <t>매입가</t>
  </si>
  <si>
    <t>로열티</t>
  </si>
  <si>
    <t>사용료</t>
  </si>
  <si>
    <t>결제 수수료</t>
  </si>
  <si>
    <t>예상 수익</t>
  </si>
  <si>
    <r>
      <rPr>
        <b/>
        <charset val="129"/>
        <color rgb="FF334155"/>
        <family val="2"/>
        <sz val="10"/>
        <rFont val="Malgun Gothic"/>
      </rPr>
      <t>예상</t>
    </r>
    <r>
      <rPr>
        <b/>
        <color rgb="FF334155"/>
        <family val="2"/>
        <sz val="10"/>
        <rFont val="Arial"/>
      </rPr>
      <t xml:space="preserve"> </t>
    </r>
    <r>
      <rPr>
        <b/>
        <charset val="129"/>
        <color rgb="FF334155"/>
        <family val="2"/>
        <sz val="10"/>
        <rFont val="Malgun Gothic"/>
      </rPr>
      <t>수익률</t>
    </r>
    <r>
      <rPr>
        <b/>
        <color rgb="FF334155"/>
        <family val="2"/>
        <sz val="10"/>
        <rFont val="Arial"/>
      </rPr>
      <t>(%)</t>
    </r>
  </si>
  <si>
    <t>취소주문제외한 할인을 포함하지 않은 매출</t>
  </si>
  <si>
    <t>취소/환불으루 제외한 유효 주문 수</t>
  </si>
  <si>
    <t>고객이 사용한 포인트</t>
  </si>
  <si>
    <t>랜덤박스 이벤트 등으로 무상 지급된 상품의 원가</t>
  </si>
  <si>
    <t>상품에 적용된 즉시할인 금액의 총합</t>
  </si>
  <si>
    <t>매출에서 포인트, 증정품, 할인 금액을 차감한 금액</t>
  </si>
  <si>
    <t>판매된 상품에 대한 공급원가</t>
  </si>
  <si>
    <t>순매출에 대해 산정된 로열티</t>
  </si>
  <si>
    <t>사용료	문자·인증 등 시스템 사용 시 발생한 서비스 사용료 총합.</t>
  </si>
  <si>
    <t>카드 및 간편결제 등 결제수단에 따른 예상 수수료</t>
  </si>
  <si>
    <t>순매출에서 매입가, 로열티, 사용료, 결제 수수료를 차감한 예상 금액</t>
  </si>
  <si>
    <t>예상익익과 순매출을 기반으로 도출된 예상이익률</t>
  </si>
  <si>
    <t>합계</t>
  </si>
  <si>
    <t>평균</t>
  </si>
  <si>
    <t>단위기간</t>
  </si>
  <si>
    <t>11.04 (화)</t>
  </si>
  <si>
    <t>11.03 (월)</t>
  </si>
  <si>
    <t>11.02 (일)</t>
  </si>
  <si>
    <t>11.01 (토)</t>
  </si>
  <si>
    <t>10.31 (금)</t>
  </si>
  <si>
    <t>10.30 (목)</t>
  </si>
  <si>
    <t>10.29 (수)</t>
  </si>
  <si>
    <t>10.28 (화)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</si>
</sst>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P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harset val="129"/>
      <color theme="1"/>
      <family val="3"/>
      <scheme val="minor"/>
      <sz val="14"/>
      <name val="Aptos Narrow"/>
    </font>
    <font>
      <b/>
      <charset val="129"/>
      <color rgb="FF334155"/>
      <family val="2"/>
      <sz val="10"/>
      <name val="Malgun Gothic"/>
    </font>
    <font>
      <charset val="129"/>
      <color rgb="FF334155"/>
      <family val="2"/>
      <sz val="10"/>
      <name val="Malgun Gothic"/>
    </font>
    <font>
      <color rgb="FF334155"/>
      <family val="2"/>
      <sz val="10"/>
      <name val="Arial"/>
    </font>
    <font>
      <b/>
      <color rgb="FF334155"/>
      <family val="2"/>
      <sz val="10"/>
      <name val="Arial"/>
    </font>
    <font>
      <b/>
      <charset val="129"/>
      <color rgb="FF334155"/>
      <family val="2"/>
      <sz val="10"/>
      <name val="Arial"/>
    </font>
    <font>
      <charset val="129"/>
      <color theme="1" tint="0.499984740745262"/>
      <family val="2"/>
      <sz val="10"/>
      <name val="Malgun Gothic"/>
    </font>
    <font>
      <color theme="1"/>
      <family val="2"/>
      <scheme val="minor"/>
      <sz val="6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3F4F7"/>
        <bgColor indexed="64"/>
      </patternFill>
    </fill>
    <fill>
      <patternFill patternType="solid">
        <fgColor rgb="FFF3F4F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 zoomScale="100" zoomScaleNormal="100">
      <selection activeCell="M4" sqref="M4"/>
    </sheetView>
  </sheetViews>
  <sheetFormatPr defaultRowHeight="16" outlineLevelRow="0" outlineLevelCol="0" x14ac:dyDescent="0.2" defaultColWidth="8.83203125" customHeight="1"/>
  <cols>
    <col min="1" max="1" width="17.83203125" customWidth="1"/>
    <col min="2" max="3" width="17.83203125" style="1" customWidth="1"/>
    <col min="4" max="4" width="17.83203125" style="2" customWidth="1"/>
    <col min="5" max="12" width="17.83203125" style="1" customWidth="1"/>
    <col min="13" max="13" width="17.83203125" style="3" customWidth="1"/>
  </cols>
  <sheetData>
    <row r="1" ht="16" customHeight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6" customHeight="1" spans="1:13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16" customHeight="1" spans="1:13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" x14ac:dyDescent="0.25">
      <c r="A5" s="6" t="s">
        <v>1</v>
      </c>
    </row>
    <row r="6" ht="15" customHeight="1" spans="1:1" x14ac:dyDescent="0.25">
      <c r="A6" t="s">
        <v>2</v>
      </c>
    </row>
    <row r="8" ht="15" customHeight="1" x14ac:dyDescent="0.25"/>
    <row r="9" spans="1:2" x14ac:dyDescent="0.25">
      <c r="A9" s="7" t="s">
        <v>3</v>
      </c>
      <c r="B9" s="8" t="s">
        <v>4</v>
      </c>
    </row>
    <row r="10" ht="16" customHeight="1" spans="1:2" x14ac:dyDescent="0.25">
      <c r="A10" t="s">
        <v>5</v>
      </c>
      <c r="B10" s="1" t="s">
        <v>6</v>
      </c>
    </row>
    <row r="12" ht="15" customHeight="1" x14ac:dyDescent="0.25"/>
    <row r="13" ht="24" customHeight="1" spans="1:13" x14ac:dyDescent="0.25">
      <c r="A13" s="7" t="s">
        <v>7</v>
      </c>
      <c r="B13" s="9" t="s">
        <v>8</v>
      </c>
      <c r="C13" s="9" t="s">
        <v>9</v>
      </c>
      <c r="D13" s="10" t="s">
        <v>10</v>
      </c>
      <c r="E13" s="9" t="s">
        <v>11</v>
      </c>
      <c r="F13" s="9" t="s">
        <v>12</v>
      </c>
      <c r="G13" s="11" t="s">
        <v>13</v>
      </c>
      <c r="H13" s="9" t="s">
        <v>14</v>
      </c>
      <c r="I13" s="9" t="s">
        <v>15</v>
      </c>
      <c r="J13" s="9" t="s">
        <v>16</v>
      </c>
      <c r="K13" s="9" t="s">
        <v>17</v>
      </c>
      <c r="L13" s="11" t="s">
        <v>18</v>
      </c>
      <c r="M13" s="12" t="s">
        <v>19</v>
      </c>
    </row>
    <row r="14" ht="20" customHeight="1" spans="1:13" x14ac:dyDescent="0.25">
      <c r="A14" s="13"/>
      <c r="B14" s="14" t="s">
        <v>20</v>
      </c>
      <c r="C14" s="14" t="s">
        <v>21</v>
      </c>
      <c r="D14" s="15" t="s">
        <v>22</v>
      </c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  <c r="K14" s="14" t="s">
        <v>29</v>
      </c>
      <c r="L14" s="14" t="s">
        <v>30</v>
      </c>
      <c r="M14" s="16" t="s">
        <v>31</v>
      </c>
    </row>
    <row r="15" ht="15" customHeight="1" spans="1:13" x14ac:dyDescent="0.25">
      <c r="A15" s="17" t="s">
        <v>32</v>
      </c>
      <c r="B15" s="1">
        <f>SUM(B20:B27)</f>
      </c>
      <c r="C15" s="1">
        <f>SUM(C20:C27)</f>
      </c>
      <c r="D15" s="2">
        <f>SUM(D20:D27)</f>
      </c>
      <c r="E15" s="1">
        <f>SUM(E20:E27)</f>
      </c>
      <c r="F15" s="1">
        <f>SUM(F20:F27)</f>
      </c>
      <c r="G15" s="1">
        <f>SUM(G20:G27)</f>
      </c>
      <c r="H15" s="1">
        <f>SUM(H20:H27)</f>
      </c>
      <c r="I15" s="1">
        <f>SUM(I20:I27)</f>
      </c>
      <c r="J15" s="1">
        <f>SUM(J20:J27)</f>
      </c>
      <c r="K15" s="1">
        <f>SUM(K20:K27)</f>
      </c>
      <c r="L15" s="1">
        <f>SUM(L20:L27)</f>
      </c>
      <c r="M15" s="3">
        <f>ROUND((L15/G15)*100, 2)</f>
      </c>
    </row>
    <row r="16" ht="16" customHeight="1" spans="1:13" x14ac:dyDescent="0.25">
      <c r="A16" s="17" t="s">
        <v>33</v>
      </c>
      <c r="B16" s="1">
        <f>ROUND(AVERAGE(B20:B27), 0)</f>
      </c>
      <c r="C16" s="1">
        <f>ROUND(AVERAGE(C20:C27), 0)</f>
      </c>
      <c r="D16" s="2">
        <f>ROUND(AVERAGE(D20:D27), 0)</f>
      </c>
      <c r="E16" s="1">
        <f>ROUND(AVERAGE(E20:E27), 0)</f>
      </c>
      <c r="F16" s="1">
        <f>ROUND(AVERAGE(F20:F27), 0)</f>
      </c>
      <c r="G16" s="1">
        <f>ROUND(AVERAGE(G20:G27), 0)</f>
      </c>
      <c r="H16" s="1">
        <f>ROUND(AVERAGE(H20:H27), 0)</f>
      </c>
      <c r="I16" s="1">
        <f>ROUND(AVERAGE(I20:I27), 0)</f>
      </c>
      <c r="J16" s="1">
        <f>ROUND(AVERAGE(J20:J27), 0)</f>
      </c>
      <c r="K16" s="1">
        <f>ROUND(AVERAGE(K20:K27), 0)</f>
      </c>
      <c r="L16" s="1">
        <f>ROUND(AVERAGE(L20:L27), 0)</f>
      </c>
      <c r="M16" s="3">
        <f>ROUND((L16/G16)*100, 2)</f>
      </c>
    </row>
    <row r="18" ht="15" customHeight="1" x14ac:dyDescent="0.25"/>
    <row r="19" spans="1:13" x14ac:dyDescent="0.25">
      <c r="A19" s="18" t="s">
        <v>34</v>
      </c>
      <c r="B19" s="9" t="s">
        <v>8</v>
      </c>
      <c r="C19" s="9" t="s">
        <v>9</v>
      </c>
      <c r="D19" s="10" t="s">
        <v>10</v>
      </c>
      <c r="E19" s="9" t="s">
        <v>11</v>
      </c>
      <c r="F19" s="9" t="s">
        <v>12</v>
      </c>
      <c r="G19" s="11" t="s">
        <v>13</v>
      </c>
      <c r="H19" s="9" t="s">
        <v>14</v>
      </c>
      <c r="I19" s="9" t="s">
        <v>15</v>
      </c>
      <c r="J19" s="9" t="s">
        <v>16</v>
      </c>
      <c r="K19" s="9" t="s">
        <v>17</v>
      </c>
      <c r="L19" s="11" t="s">
        <v>18</v>
      </c>
      <c r="M19" s="12" t="s">
        <v>19</v>
      </c>
    </row>
    <row r="20" ht="15" customHeight="1" spans="1:13" x14ac:dyDescent="0.25">
      <c r="A20" t="s">
        <v>35</v>
      </c>
      <c r="B20" s="1">
        <v>320000</v>
      </c>
      <c r="C20" s="1">
        <v>9</v>
      </c>
      <c r="D20" s="2">
        <v>0</v>
      </c>
      <c r="E20" s="1">
        <v>0</v>
      </c>
      <c r="F20" s="1">
        <v>0</v>
      </c>
      <c r="G20" s="1">
        <v>320000</v>
      </c>
      <c r="H20" s="1">
        <v>0</v>
      </c>
      <c r="I20" s="1">
        <v>0</v>
      </c>
      <c r="J20" s="1">
        <v>-481</v>
      </c>
      <c r="K20" s="1">
        <v>-9600</v>
      </c>
      <c r="L20" s="1">
        <v>309919</v>
      </c>
      <c r="M20" s="3">
        <v>96.85</v>
      </c>
    </row>
    <row r="21" spans="1:13" x14ac:dyDescent="0.25">
      <c r="A21" t="s">
        <v>36</v>
      </c>
      <c r="B21" s="1">
        <v>566000</v>
      </c>
      <c r="C21" s="1">
        <v>14</v>
      </c>
      <c r="D21" s="2">
        <v>-500</v>
      </c>
      <c r="E21" s="1">
        <v>0</v>
      </c>
      <c r="F21" s="1">
        <v>0</v>
      </c>
      <c r="G21" s="1">
        <v>565500</v>
      </c>
      <c r="H21" s="1">
        <v>-1</v>
      </c>
      <c r="I21" s="1">
        <v>0</v>
      </c>
      <c r="J21" s="1">
        <v>-679</v>
      </c>
      <c r="K21" s="1">
        <v>-16965</v>
      </c>
      <c r="L21" s="1">
        <v>547855</v>
      </c>
      <c r="M21" s="3">
        <v>96.88</v>
      </c>
    </row>
    <row r="22" spans="1:13" x14ac:dyDescent="0.25">
      <c r="A22" t="s">
        <v>37</v>
      </c>
      <c r="B22" s="1">
        <v>44600</v>
      </c>
      <c r="C22" s="1">
        <v>2</v>
      </c>
      <c r="D22" s="2">
        <v>-500</v>
      </c>
      <c r="E22" s="1">
        <v>0</v>
      </c>
      <c r="F22" s="1">
        <v>0</v>
      </c>
      <c r="G22" s="1">
        <v>44100</v>
      </c>
      <c r="H22" s="1">
        <v>0</v>
      </c>
      <c r="I22" s="1">
        <v>0</v>
      </c>
      <c r="J22" s="1">
        <v>-253</v>
      </c>
      <c r="K22" s="1">
        <v>-1323</v>
      </c>
      <c r="L22" s="1">
        <v>42524</v>
      </c>
      <c r="M22" s="3">
        <v>96.43</v>
      </c>
    </row>
    <row r="23" spans="1:13" x14ac:dyDescent="0.25">
      <c r="A23" t="s">
        <v>38</v>
      </c>
      <c r="B23" s="1">
        <v>132000</v>
      </c>
      <c r="C23" s="1">
        <v>5</v>
      </c>
      <c r="D23" s="2">
        <v>-1000</v>
      </c>
      <c r="E23" s="1">
        <v>0</v>
      </c>
      <c r="F23" s="1">
        <v>0</v>
      </c>
      <c r="G23" s="1">
        <v>131000</v>
      </c>
      <c r="H23" s="1">
        <v>0</v>
      </c>
      <c r="I23" s="1">
        <v>0</v>
      </c>
      <c r="J23" s="1">
        <v>-209</v>
      </c>
      <c r="K23" s="1">
        <v>-3930</v>
      </c>
      <c r="L23" s="1">
        <v>126861</v>
      </c>
      <c r="M23" s="3">
        <v>96.84</v>
      </c>
    </row>
    <row r="24" spans="1:13" x14ac:dyDescent="0.25">
      <c r="A24" t="s">
        <v>39</v>
      </c>
      <c r="B24" s="1">
        <v>412500</v>
      </c>
      <c r="C24" s="1">
        <v>12</v>
      </c>
      <c r="D24" s="2">
        <v>-500</v>
      </c>
      <c r="E24" s="1">
        <v>0</v>
      </c>
      <c r="F24" s="1">
        <v>0</v>
      </c>
      <c r="G24" s="1">
        <v>412000</v>
      </c>
      <c r="H24" s="1">
        <v>-11000</v>
      </c>
      <c r="I24" s="1">
        <v>0</v>
      </c>
      <c r="J24" s="1">
        <v>-1067</v>
      </c>
      <c r="K24" s="1">
        <v>-12360</v>
      </c>
      <c r="L24" s="1">
        <v>387573</v>
      </c>
      <c r="M24" s="3">
        <v>94.07</v>
      </c>
    </row>
    <row r="25" spans="1:13" x14ac:dyDescent="0.25">
      <c r="A25" t="s">
        <v>40</v>
      </c>
      <c r="B25" s="1">
        <v>349000</v>
      </c>
      <c r="C25" s="1">
        <v>13</v>
      </c>
      <c r="D25" s="2">
        <v>0</v>
      </c>
      <c r="E25" s="1">
        <v>0</v>
      </c>
      <c r="F25" s="1">
        <v>0</v>
      </c>
      <c r="G25" s="1">
        <v>349000</v>
      </c>
      <c r="H25" s="1">
        <v>-2</v>
      </c>
      <c r="I25" s="1">
        <v>0</v>
      </c>
      <c r="J25" s="1">
        <v>-668</v>
      </c>
      <c r="K25" s="1">
        <v>-10470</v>
      </c>
      <c r="L25" s="1">
        <v>337860</v>
      </c>
      <c r="M25" s="3">
        <v>96.81</v>
      </c>
    </row>
    <row r="26" spans="1:13" x14ac:dyDescent="0.25">
      <c r="A26" t="s">
        <v>41</v>
      </c>
      <c r="B26" s="1">
        <v>287000</v>
      </c>
      <c r="C26" s="1">
        <v>11</v>
      </c>
      <c r="D26" s="2">
        <v>-500</v>
      </c>
      <c r="E26" s="1">
        <v>0</v>
      </c>
      <c r="F26" s="1">
        <v>0</v>
      </c>
      <c r="G26" s="1">
        <v>286500</v>
      </c>
      <c r="H26" s="1">
        <v>0</v>
      </c>
      <c r="I26" s="1">
        <v>0</v>
      </c>
      <c r="J26" s="1">
        <v>-442</v>
      </c>
      <c r="K26" s="1">
        <v>-8595</v>
      </c>
      <c r="L26" s="1">
        <v>277463</v>
      </c>
      <c r="M26" s="3">
        <v>96.85</v>
      </c>
    </row>
    <row r="27" spans="1:13" x14ac:dyDescent="0.25">
      <c r="A27" t="s">
        <v>42</v>
      </c>
      <c r="B27" s="1">
        <v>560000</v>
      </c>
      <c r="C27" s="1">
        <v>18</v>
      </c>
      <c r="D27" s="2">
        <v>-3500</v>
      </c>
      <c r="E27" s="1">
        <v>0</v>
      </c>
      <c r="F27" s="1">
        <v>0</v>
      </c>
      <c r="G27" s="1">
        <v>556500</v>
      </c>
      <c r="H27" s="1">
        <v>-1</v>
      </c>
      <c r="I27" s="1">
        <v>0</v>
      </c>
      <c r="J27" s="1">
        <v>-1174</v>
      </c>
      <c r="K27" s="1">
        <v>-16695</v>
      </c>
      <c r="L27" s="1">
        <v>538630</v>
      </c>
      <c r="M27" s="3">
        <v>96.79</v>
      </c>
    </row>
  </sheetData>
  <mergeCells count="1">
    <mergeCell ref="A1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2025-11-05T07:33:01Z</dcterms:created>
  <dcterms:modified xsi:type="dcterms:W3CDTF">2025-11-07T06:39:09Z</dcterms:modified>
</cp:coreProperties>
</file>